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guosh\Desktop\"/>
    </mc:Choice>
  </mc:AlternateContent>
  <xr:revisionPtr revIDLastSave="0" documentId="13_ncr:1_{05EAC3E6-FB63-4C71-8CFE-6D92507AB219}" xr6:coauthVersionLast="47" xr6:coauthVersionMax="47" xr10:uidLastSave="{00000000-0000-0000-0000-000000000000}"/>
  <bookViews>
    <workbookView xWindow="6420" yWindow="380" windowWidth="12980" windowHeight="1537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D11" i="3"/>
  <c r="D12" i="3"/>
  <c r="D13" i="3"/>
  <c r="D14" i="3"/>
  <c r="D15" i="3"/>
  <c r="D9" i="3"/>
  <c r="C10" i="3"/>
  <c r="C11" i="3"/>
  <c r="C12" i="3"/>
  <c r="C13" i="3"/>
  <c r="C14" i="3"/>
  <c r="C15" i="3"/>
  <c r="C9" i="3"/>
  <c r="F13" i="2"/>
  <c r="F14" i="2"/>
  <c r="F15" i="2"/>
  <c r="F16" i="2"/>
  <c r="F17" i="2"/>
  <c r="F12" i="2"/>
  <c r="E13" i="2"/>
  <c r="E14" i="2"/>
  <c r="E15" i="2"/>
  <c r="E16" i="2"/>
  <c r="E17" i="2"/>
  <c r="E12" i="2"/>
  <c r="H5" i="1"/>
  <c r="F40" i="1"/>
  <c r="F39" i="1"/>
  <c r="F38" i="1"/>
  <c r="F37" i="1"/>
  <c r="F36" i="1"/>
  <c r="F35" i="1"/>
  <c r="F34" i="1"/>
  <c r="O33" i="1"/>
  <c r="N33" i="1"/>
  <c r="F33" i="1"/>
  <c r="O32" i="1"/>
  <c r="N32" i="1"/>
  <c r="F32" i="1"/>
  <c r="N31" i="1"/>
  <c r="O31" i="1" s="1"/>
  <c r="F31" i="1"/>
  <c r="N30" i="1"/>
  <c r="O30" i="1" s="1"/>
  <c r="F30" i="1"/>
  <c r="N29" i="1"/>
  <c r="O29" i="1" s="1"/>
  <c r="F29" i="1"/>
  <c r="N28" i="1"/>
  <c r="O28" i="1" s="1"/>
  <c r="F28" i="1"/>
  <c r="N27" i="1"/>
  <c r="O27" i="1" s="1"/>
  <c r="F27" i="1"/>
  <c r="N26" i="1"/>
  <c r="O26" i="1" s="1"/>
  <c r="M26" i="1"/>
  <c r="L26" i="1"/>
  <c r="F26" i="1"/>
  <c r="N25" i="1"/>
  <c r="O25" i="1" s="1"/>
  <c r="L25" i="1"/>
  <c r="M25" i="1" s="1"/>
  <c r="F25" i="1"/>
  <c r="N24" i="1"/>
  <c r="O24" i="1" s="1"/>
  <c r="L24" i="1"/>
  <c r="M24" i="1" s="1"/>
  <c r="F24" i="1"/>
  <c r="N23" i="1"/>
  <c r="O23" i="1" s="1"/>
  <c r="L23" i="1"/>
  <c r="M23" i="1" s="1"/>
  <c r="F23" i="1"/>
  <c r="N22" i="1"/>
  <c r="O22" i="1" s="1"/>
  <c r="M22" i="1"/>
  <c r="L22" i="1"/>
  <c r="F22" i="1"/>
  <c r="N21" i="1"/>
  <c r="O21" i="1" s="1"/>
  <c r="L21" i="1"/>
  <c r="M21" i="1" s="1"/>
  <c r="F21" i="1"/>
  <c r="N20" i="1"/>
  <c r="O20" i="1" s="1"/>
  <c r="L20" i="1"/>
  <c r="M20" i="1" s="1"/>
  <c r="F20" i="1"/>
  <c r="N19" i="1"/>
  <c r="O19" i="1" s="1"/>
  <c r="L19" i="1"/>
  <c r="M19" i="1" s="1"/>
  <c r="J19" i="1"/>
  <c r="K19" i="1" s="1"/>
  <c r="F19" i="1"/>
  <c r="O18" i="1"/>
  <c r="N18" i="1"/>
  <c r="L18" i="1"/>
  <c r="M18" i="1" s="1"/>
  <c r="J18" i="1"/>
  <c r="K18" i="1" s="1"/>
  <c r="F18" i="1"/>
  <c r="N17" i="1"/>
  <c r="O17" i="1" s="1"/>
  <c r="L17" i="1"/>
  <c r="M17" i="1" s="1"/>
  <c r="J17" i="1"/>
  <c r="K17" i="1" s="1"/>
  <c r="F17" i="1"/>
  <c r="N16" i="1"/>
  <c r="O16" i="1" s="1"/>
  <c r="L16" i="1"/>
  <c r="M16" i="1" s="1"/>
  <c r="J16" i="1"/>
  <c r="K16" i="1" s="1"/>
  <c r="F16" i="1"/>
  <c r="N15" i="1"/>
  <c r="O15" i="1" s="1"/>
  <c r="L15" i="1"/>
  <c r="M15" i="1" s="1"/>
  <c r="J15" i="1"/>
  <c r="K15" i="1" s="1"/>
  <c r="F15" i="1"/>
  <c r="N14" i="1"/>
  <c r="O14" i="1" s="1"/>
  <c r="L14" i="1"/>
  <c r="M14" i="1" s="1"/>
  <c r="J14" i="1"/>
  <c r="K14" i="1" s="1"/>
  <c r="F14" i="1"/>
  <c r="N13" i="1"/>
  <c r="O13" i="1" s="1"/>
  <c r="L13" i="1"/>
  <c r="M13" i="1" s="1"/>
  <c r="J13" i="1"/>
  <c r="K13" i="1" s="1"/>
  <c r="F13" i="1"/>
  <c r="O12" i="1"/>
  <c r="N12" i="1"/>
  <c r="L12" i="1"/>
  <c r="M12" i="1" s="1"/>
  <c r="J12" i="1"/>
  <c r="K12" i="1" s="1"/>
  <c r="H12" i="1"/>
  <c r="I12" i="1" s="1"/>
  <c r="F12" i="1"/>
  <c r="N11" i="1"/>
  <c r="O11" i="1" s="1"/>
  <c r="L11" i="1"/>
  <c r="M11" i="1" s="1"/>
  <c r="J11" i="1"/>
  <c r="K11" i="1" s="1"/>
  <c r="H11" i="1"/>
  <c r="I11" i="1" s="1"/>
  <c r="F11" i="1"/>
  <c r="N10" i="1"/>
  <c r="O10" i="1" s="1"/>
  <c r="L10" i="1"/>
  <c r="M10" i="1" s="1"/>
  <c r="J10" i="1"/>
  <c r="K10" i="1" s="1"/>
  <c r="H10" i="1"/>
  <c r="I10" i="1" s="1"/>
  <c r="F10" i="1"/>
  <c r="N9" i="1"/>
  <c r="O9" i="1" s="1"/>
  <c r="L9" i="1"/>
  <c r="M9" i="1" s="1"/>
  <c r="J9" i="1"/>
  <c r="K9" i="1" s="1"/>
  <c r="H9" i="1"/>
  <c r="I9" i="1" s="1"/>
  <c r="F9" i="1"/>
  <c r="N8" i="1"/>
  <c r="O8" i="1" s="1"/>
  <c r="L8" i="1"/>
  <c r="M8" i="1" s="1"/>
  <c r="J8" i="1"/>
  <c r="K8" i="1" s="1"/>
  <c r="H8" i="1"/>
  <c r="I8" i="1" s="1"/>
  <c r="F8" i="1"/>
  <c r="N7" i="1"/>
  <c r="O7" i="1" s="1"/>
  <c r="L7" i="1"/>
  <c r="M7" i="1" s="1"/>
  <c r="J7" i="1"/>
  <c r="K7" i="1" s="1"/>
  <c r="H7" i="1"/>
  <c r="I7" i="1" s="1"/>
  <c r="F7" i="1"/>
  <c r="N6" i="1"/>
  <c r="O6" i="1" s="1"/>
  <c r="L6" i="1"/>
  <c r="M6" i="1" s="1"/>
  <c r="J6" i="1"/>
  <c r="K6" i="1" s="1"/>
  <c r="H6" i="1"/>
  <c r="I6" i="1" s="1"/>
  <c r="F6" i="1"/>
  <c r="N5" i="1"/>
  <c r="O5" i="1" s="1"/>
  <c r="L5" i="1"/>
  <c r="M5" i="1" s="1"/>
  <c r="J5" i="1"/>
  <c r="K5" i="1" s="1"/>
  <c r="I5" i="1"/>
  <c r="F5" i="1"/>
</calcChain>
</file>

<file path=xl/sharedStrings.xml><?xml version="1.0" encoding="utf-8"?>
<sst xmlns="http://schemas.openxmlformats.org/spreadsheetml/2006/main" count="65" uniqueCount="25">
  <si>
    <t>659.2551138Hz</t>
  </si>
  <si>
    <t>440Hz</t>
  </si>
  <si>
    <t>293.6647679Hz</t>
  </si>
  <si>
    <t>195.997718Hz</t>
  </si>
  <si>
    <t>f/Hz</t>
  </si>
  <si>
    <t>E弦</t>
  </si>
  <si>
    <t>A弦</t>
  </si>
  <si>
    <t>D弦</t>
  </si>
  <si>
    <t>G弦</t>
  </si>
  <si>
    <t>有效弦长为1</t>
  </si>
  <si>
    <t>有效弦长为330mm</t>
  </si>
  <si>
    <t xml:space="preserve"> 按指位置离琴桥的距离/1</t>
  </si>
  <si>
    <t>按指位置离琴桥的距离/mm_x000D_</t>
  </si>
  <si>
    <t>B</t>
  </si>
  <si>
    <t>E</t>
  </si>
  <si>
    <t>A#orBb</t>
  </si>
  <si>
    <t>A</t>
  </si>
  <si>
    <t>G#orAb</t>
  </si>
  <si>
    <t>G</t>
  </si>
  <si>
    <t>F#orGb</t>
  </si>
  <si>
    <t>F</t>
  </si>
  <si>
    <t>D#orEb</t>
  </si>
  <si>
    <t>D</t>
  </si>
  <si>
    <t>C#orDb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</si>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</sst>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sz val="9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B2DFDB"/>
        <bgColor indexed="64"/>
      </patternFill>
    </fill>
    <fill>
      <patternFill patternType="solid">
        <fgColor rgb="FFDCEDC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Border="0">
      <alignment vertical="center"/>
    </xf>
  </cellStyleXfs>
  <cellXfs count="5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2" borderId="5" xfId="0" applyFill="1" applyBorder="1">
      <alignment vertical="center"/>
    </xf>
    <xf numFmtId="0" fontId="1" fillId="0" borderId="0" xfId="0" applyFont="1">
      <alignment vertical="center"/>
    </xf>
    <xf numFmtId="0" fontId="0" fillId="3" borderId="0" xfId="0" applyFill="1">
      <alignment vertical="center"/>
    </xf>
    <xf numFmtId="0" fontId="2" fillId="4" borderId="0" xfId="0" applyFont="1" applyFill="1">
      <alignment vertical="center"/>
    </xf>
    <xf numFmtId="0" fontId="0" fillId="5" borderId="5" xfId="0" applyFill="1" applyBorder="1">
      <alignment vertical="center"/>
    </xf>
    <xf numFmtId="0" fontId="0" fillId="0" borderId="8" xfId="0" applyBorder="1">
      <alignment vertical="center"/>
    </xf>
    <xf numFmtId="0" fontId="2" fillId="4" borderId="9" xfId="0" applyFont="1" applyFill="1" applyBorder="1">
      <alignment vertical="center"/>
    </xf>
    <xf numFmtId="0" fontId="0" fillId="6" borderId="5" xfId="0" applyFill="1" applyBorder="1">
      <alignment vertical="center"/>
    </xf>
    <xf numFmtId="0" fontId="0" fillId="7" borderId="5" xfId="0" applyFill="1" applyBorder="1">
      <alignment vertical="center"/>
    </xf>
    <xf numFmtId="0" fontId="0" fillId="3" borderId="8" xfId="0" applyFill="1" applyBorder="1">
      <alignment vertical="center"/>
    </xf>
    <xf numFmtId="0" fontId="0" fillId="0" borderId="9" xfId="0" applyBorder="1">
      <alignment vertical="center"/>
    </xf>
    <xf numFmtId="0" fontId="1" fillId="0" borderId="10" xfId="0" applyFont="1" applyBorder="1">
      <alignment vertical="center"/>
    </xf>
    <xf numFmtId="0" fontId="0" fillId="3" borderId="10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12" borderId="1" xfId="0" applyFill="1" applyBorder="1">
      <alignment vertical="center"/>
    </xf>
    <xf numFmtId="0" fontId="0" fillId="13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10" borderId="0" xfId="0" applyFill="1">
      <alignment vertical="center"/>
    </xf>
    <xf numFmtId="0" fontId="0" fillId="5" borderId="1" xfId="0" applyFill="1" applyBorder="1">
      <alignment vertical="center"/>
    </xf>
    <xf numFmtId="0" fontId="0" fillId="0" borderId="15" xfId="0" applyBorder="1">
      <alignment vertical="center"/>
    </xf>
    <xf numFmtId="0" fontId="0" fillId="0" borderId="14" xfId="0" applyBorder="1" applyAlignment="1">
      <alignment vertical="center" wrapText="1"/>
    </xf>
    <xf numFmtId="0" fontId="0" fillId="8" borderId="2" xfId="0" applyFill="1" applyBorder="1">
      <alignment vertical="center"/>
    </xf>
    <xf numFmtId="0" fontId="0" fillId="9" borderId="2" xfId="0" applyFill="1" applyBorder="1">
      <alignment vertical="center"/>
    </xf>
    <xf numFmtId="0" fontId="0" fillId="10" borderId="2" xfId="0" applyFill="1" applyBorder="1">
      <alignment vertical="center"/>
    </xf>
    <xf numFmtId="0" fontId="0" fillId="11" borderId="2" xfId="0" applyFill="1" applyBorder="1">
      <alignment vertical="center"/>
    </xf>
    <xf numFmtId="0" fontId="0" fillId="12" borderId="2" xfId="0" applyFill="1" applyBorder="1">
      <alignment vertical="center"/>
    </xf>
    <xf numFmtId="0" fontId="0" fillId="13" borderId="2" xfId="0" applyFill="1" applyBorder="1">
      <alignment vertical="center"/>
    </xf>
    <xf numFmtId="0" fontId="0" fillId="6" borderId="2" xfId="0" applyFill="1" applyBorder="1">
      <alignment vertical="center"/>
    </xf>
    <xf numFmtId="0" fontId="0" fillId="5" borderId="2" xfId="0" applyFill="1" applyBorder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6" borderId="0" xfId="0" applyFill="1">
      <alignment vertical="center"/>
    </xf>
    <xf numFmtId="0" fontId="0" fillId="5" borderId="0" xfId="0" applyFill="1">
      <alignment vertical="center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2" borderId="5" xfId="0" applyFill="1" applyBorder="1">
      <alignment vertical="center"/>
    </xf>
    <xf numFmtId="0" fontId="0" fillId="5" borderId="5" xfId="0" applyFill="1" applyBorder="1">
      <alignment vertical="center"/>
    </xf>
    <xf numFmtId="0" fontId="0" fillId="6" borderId="5" xfId="0" applyFill="1" applyBorder="1">
      <alignment vertical="center"/>
    </xf>
    <xf numFmtId="0" fontId="0" fillId="7" borderId="5" xfId="0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zoomScale="74" zoomScaleNormal="54" workbookViewId="0">
      <pane xSplit="6" ySplit="4" topLeftCell="G5" activePane="bottomRight" state="frozen"/>
      <selection pane="topRight"/>
      <selection pane="bottomLeft"/>
      <selection pane="bottomRight" activeCell="H5" sqref="H5:H12"/>
    </sheetView>
  </sheetViews>
  <sheetFormatPr defaultColWidth="9.90625" defaultRowHeight="14" x14ac:dyDescent="0.25"/>
  <cols>
    <col min="1" max="1" width="13" customWidth="1"/>
    <col min="6" max="6" width="12.81640625" customWidth="1"/>
    <col min="7" max="7" width="12.81640625"/>
    <col min="8" max="8" width="25.54296875" style="1" customWidth="1"/>
    <col min="9" max="9" width="18.81640625" style="2" customWidth="1"/>
    <col min="10" max="10" width="25.54296875" style="1" customWidth="1"/>
    <col min="11" max="11" width="18.81640625" customWidth="1"/>
    <col min="12" max="12" width="25.54296875" style="1" customWidth="1"/>
    <col min="13" max="13" width="18.81640625" customWidth="1"/>
    <col min="14" max="14" width="25.54296875" style="1" customWidth="1"/>
    <col min="15" max="15" width="18.81640625" customWidth="1"/>
    <col min="16" max="16" width="14.1796875" style="1" customWidth="1"/>
  </cols>
  <sheetData>
    <row r="1" spans="1:15" x14ac:dyDescent="0.25">
      <c r="H1" s="1" t="s">
        <v>0</v>
      </c>
      <c r="J1" s="1" t="s">
        <v>1</v>
      </c>
      <c r="L1" s="1" t="s">
        <v>2</v>
      </c>
      <c r="N1" s="1" t="s">
        <v>3</v>
      </c>
    </row>
    <row r="2" spans="1:15" ht="22.5" customHeight="1" x14ac:dyDescent="0.25">
      <c r="F2" t="s">
        <v>4</v>
      </c>
      <c r="H2" s="54" t="s">
        <v>5</v>
      </c>
      <c r="I2" s="55"/>
      <c r="J2" s="56" t="s">
        <v>6</v>
      </c>
      <c r="K2" s="57"/>
      <c r="L2" s="56" t="s">
        <v>7</v>
      </c>
      <c r="M2" s="57"/>
      <c r="N2" s="56" t="s">
        <v>8</v>
      </c>
      <c r="O2" s="57"/>
    </row>
    <row r="3" spans="1:15" ht="22.5" customHeight="1" x14ac:dyDescent="0.25">
      <c r="H3" s="19" t="s">
        <v>9</v>
      </c>
      <c r="I3" s="30" t="s">
        <v>10</v>
      </c>
      <c r="J3" s="19" t="s">
        <v>9</v>
      </c>
      <c r="K3" s="30" t="s">
        <v>10</v>
      </c>
      <c r="L3" s="19" t="s">
        <v>9</v>
      </c>
      <c r="M3" s="30" t="s">
        <v>10</v>
      </c>
      <c r="N3" s="19" t="s">
        <v>9</v>
      </c>
      <c r="O3" s="30" t="s">
        <v>10</v>
      </c>
    </row>
    <row r="4" spans="1:15" ht="28" x14ac:dyDescent="0.25">
      <c r="H4" s="20" t="s">
        <v>11</v>
      </c>
      <c r="I4" s="31" t="s">
        <v>12</v>
      </c>
      <c r="J4" s="20" t="s">
        <v>11</v>
      </c>
      <c r="K4" s="31" t="s">
        <v>12</v>
      </c>
      <c r="L4" s="20" t="s">
        <v>11</v>
      </c>
      <c r="M4" s="31" t="s">
        <v>12</v>
      </c>
      <c r="N4" s="20" t="s">
        <v>11</v>
      </c>
      <c r="O4" s="31" t="s">
        <v>12</v>
      </c>
    </row>
    <row r="5" spans="1:15" ht="22.5" customHeight="1" x14ac:dyDescent="0.25">
      <c r="A5">
        <v>1</v>
      </c>
      <c r="B5" s="47">
        <v>5</v>
      </c>
      <c r="C5" s="3" t="s">
        <v>13</v>
      </c>
      <c r="D5" s="4">
        <v>1</v>
      </c>
      <c r="E5" s="50" t="s">
        <v>14</v>
      </c>
      <c r="F5">
        <f>440*2^((15-A5)/12)</f>
        <v>987.76660251224826</v>
      </c>
      <c r="H5" s="21">
        <f>659.2551138*2^((A5-15)/12)/440</f>
        <v>0.66741992705895847</v>
      </c>
      <c r="I5" s="32">
        <f t="shared" ref="I5:M5" si="0">H5*330</f>
        <v>220.24857592945631</v>
      </c>
      <c r="J5" s="1">
        <f>2^((A5-15)/12)</f>
        <v>0.44544935907016964</v>
      </c>
      <c r="K5">
        <f t="shared" si="0"/>
        <v>146.99828849315597</v>
      </c>
      <c r="L5" s="1">
        <f>293.6647679*2^((A5-15)/12)/440</f>
        <v>0.29730177873305713</v>
      </c>
      <c r="M5">
        <f t="shared" si="0"/>
        <v>98.109586981908848</v>
      </c>
      <c r="N5" s="1">
        <f>195.997718*2^((A5-15)/12)/440</f>
        <v>0.19842513150526328</v>
      </c>
      <c r="O5">
        <f>N5*330</f>
        <v>65.480293396736883</v>
      </c>
    </row>
    <row r="6" spans="1:15" ht="22.5" customHeight="1" x14ac:dyDescent="0.25">
      <c r="A6">
        <v>2</v>
      </c>
      <c r="B6" s="48"/>
      <c r="C6" s="5" t="s">
        <v>15</v>
      </c>
      <c r="D6" s="4">
        <v>2</v>
      </c>
      <c r="E6" s="50"/>
      <c r="F6">
        <f t="shared" ref="F6:F24" si="1">440*2^((15-A6)/12)</f>
        <v>932.32752303617963</v>
      </c>
      <c r="H6" s="22">
        <f t="shared" ref="H6:H12" si="2">659.2551138*2^((A6-15)/12)/440</f>
        <v>0.70710678115893943</v>
      </c>
      <c r="I6" s="33">
        <f t="shared" ref="I6:I12" si="3">H6*330</f>
        <v>233.34523778245003</v>
      </c>
      <c r="J6" s="1">
        <f t="shared" ref="J6:J19" si="4">2^((A6-15)/12)</f>
        <v>0.47193715634084682</v>
      </c>
      <c r="K6">
        <f t="shared" ref="K6:K19" si="5">J6*330</f>
        <v>155.73926159247944</v>
      </c>
      <c r="L6" s="1">
        <f t="shared" ref="L6:L26" si="6">293.6647679*2^((A6-15)/12)/440</f>
        <v>0.31498026245504729</v>
      </c>
      <c r="M6">
        <f t="shared" ref="M6:M26" si="7">L6*330</f>
        <v>103.94348661016561</v>
      </c>
      <c r="N6" s="1">
        <f t="shared" ref="N6:N33" si="8">195.997718*2^((A6-15)/12)/440</f>
        <v>0.21022410382321635</v>
      </c>
      <c r="O6">
        <f t="shared" ref="O6:O33" si="9">N6*330</f>
        <v>69.373954261661396</v>
      </c>
    </row>
    <row r="7" spans="1:15" ht="22.5" customHeight="1" x14ac:dyDescent="0.25">
      <c r="A7">
        <v>3</v>
      </c>
      <c r="B7" s="48"/>
      <c r="C7" s="6" t="s">
        <v>16</v>
      </c>
      <c r="D7" s="4">
        <v>3</v>
      </c>
      <c r="E7" s="50"/>
      <c r="F7">
        <f t="shared" si="1"/>
        <v>880</v>
      </c>
      <c r="H7" s="23">
        <f t="shared" si="2"/>
        <v>0.74915353840909094</v>
      </c>
      <c r="I7" s="34">
        <f t="shared" si="3"/>
        <v>247.22066767500002</v>
      </c>
      <c r="J7" s="1">
        <f t="shared" si="4"/>
        <v>0.5</v>
      </c>
      <c r="K7">
        <f t="shared" si="5"/>
        <v>165</v>
      </c>
      <c r="L7" s="1">
        <f t="shared" si="6"/>
        <v>0.3337099635227273</v>
      </c>
      <c r="M7">
        <f t="shared" si="7"/>
        <v>110.12428796250001</v>
      </c>
      <c r="N7" s="1">
        <f t="shared" si="8"/>
        <v>0.22272467954545452</v>
      </c>
      <c r="O7">
        <f t="shared" si="9"/>
        <v>73.499144249999986</v>
      </c>
    </row>
    <row r="8" spans="1:15" ht="22.5" customHeight="1" x14ac:dyDescent="0.25">
      <c r="A8">
        <v>4</v>
      </c>
      <c r="B8" s="48"/>
      <c r="C8" s="5" t="s">
        <v>17</v>
      </c>
      <c r="D8" s="4">
        <v>4</v>
      </c>
      <c r="E8" s="50"/>
      <c r="F8">
        <f t="shared" si="1"/>
        <v>830.60939515989025</v>
      </c>
      <c r="H8" s="24">
        <f t="shared" si="2"/>
        <v>0.79370052595311069</v>
      </c>
      <c r="I8" s="35">
        <f t="shared" si="3"/>
        <v>261.92117356452655</v>
      </c>
      <c r="J8" s="1">
        <f t="shared" si="4"/>
        <v>0.52973154717964765</v>
      </c>
      <c r="K8">
        <f t="shared" si="5"/>
        <v>174.81141056928374</v>
      </c>
      <c r="L8" s="1">
        <f t="shared" si="6"/>
        <v>0.35355339057231616</v>
      </c>
      <c r="M8">
        <f t="shared" si="7"/>
        <v>116.67261888886433</v>
      </c>
      <c r="N8" s="1">
        <f t="shared" si="8"/>
        <v>0.2359685781814097</v>
      </c>
      <c r="O8">
        <f t="shared" si="9"/>
        <v>77.869630799865206</v>
      </c>
    </row>
    <row r="9" spans="1:15" ht="22.5" customHeight="1" x14ac:dyDescent="0.25">
      <c r="A9">
        <v>5</v>
      </c>
      <c r="B9" s="48"/>
      <c r="C9" t="s">
        <v>18</v>
      </c>
      <c r="D9" s="4">
        <v>5</v>
      </c>
      <c r="E9" s="50"/>
      <c r="F9">
        <f t="shared" si="1"/>
        <v>783.99087196349853</v>
      </c>
      <c r="H9" s="25">
        <f t="shared" si="2"/>
        <v>0.84089641522088265</v>
      </c>
      <c r="I9" s="36">
        <f t="shared" si="3"/>
        <v>277.49581702289129</v>
      </c>
      <c r="J9" s="1">
        <f t="shared" si="4"/>
        <v>0.56123102415468651</v>
      </c>
      <c r="K9">
        <f t="shared" si="5"/>
        <v>185.20623797104656</v>
      </c>
      <c r="L9" s="1">
        <f t="shared" si="6"/>
        <v>0.37457676919696664</v>
      </c>
      <c r="M9">
        <f t="shared" si="7"/>
        <v>123.610333834999</v>
      </c>
      <c r="N9" s="1">
        <f t="shared" si="8"/>
        <v>0.25000000001163963</v>
      </c>
      <c r="O9">
        <f t="shared" si="9"/>
        <v>82.50000000384108</v>
      </c>
    </row>
    <row r="10" spans="1:15" ht="22.5" customHeight="1" x14ac:dyDescent="0.25">
      <c r="A10">
        <v>6</v>
      </c>
      <c r="B10" s="48"/>
      <c r="C10" s="5" t="s">
        <v>19</v>
      </c>
      <c r="D10" s="4">
        <v>6</v>
      </c>
      <c r="E10" s="50"/>
      <c r="F10">
        <f t="shared" si="1"/>
        <v>739.9888454232688</v>
      </c>
      <c r="H10" s="26">
        <f t="shared" si="2"/>
        <v>0.89089871810555521</v>
      </c>
      <c r="I10" s="37">
        <f t="shared" si="3"/>
        <v>293.9965769748332</v>
      </c>
      <c r="J10" s="1">
        <f t="shared" si="4"/>
        <v>0.59460355750136051</v>
      </c>
      <c r="K10">
        <f t="shared" si="5"/>
        <v>196.21917397544897</v>
      </c>
      <c r="L10" s="1">
        <f t="shared" si="6"/>
        <v>0.39685026296852582</v>
      </c>
      <c r="M10">
        <f t="shared" si="7"/>
        <v>130.96058677961352</v>
      </c>
      <c r="N10" s="1">
        <f t="shared" si="8"/>
        <v>0.26486577360215557</v>
      </c>
      <c r="O10">
        <f t="shared" si="9"/>
        <v>87.405705288711346</v>
      </c>
    </row>
    <row r="11" spans="1:15" ht="22.5" customHeight="1" x14ac:dyDescent="0.25">
      <c r="A11">
        <v>7</v>
      </c>
      <c r="B11" s="48"/>
      <c r="C11" s="7" t="s">
        <v>20</v>
      </c>
      <c r="D11" s="4">
        <v>7</v>
      </c>
      <c r="E11" s="50"/>
      <c r="F11">
        <f t="shared" si="1"/>
        <v>698.45646286600777</v>
      </c>
      <c r="H11" s="27">
        <f t="shared" si="2"/>
        <v>0.94387431264484101</v>
      </c>
      <c r="I11" s="38">
        <f t="shared" si="3"/>
        <v>311.47852317279751</v>
      </c>
      <c r="J11" s="1">
        <f t="shared" si="4"/>
        <v>0.6299605249474366</v>
      </c>
      <c r="K11">
        <f t="shared" si="5"/>
        <v>207.88697323265407</v>
      </c>
      <c r="L11" s="1">
        <f t="shared" si="6"/>
        <v>0.42044820760193441</v>
      </c>
      <c r="M11">
        <f t="shared" si="7"/>
        <v>138.74790850863835</v>
      </c>
      <c r="N11" s="1">
        <f t="shared" si="8"/>
        <v>0.28061551209040825</v>
      </c>
      <c r="O11">
        <f t="shared" si="9"/>
        <v>92.603118989834726</v>
      </c>
    </row>
    <row r="12" spans="1:15" ht="22.5" customHeight="1" x14ac:dyDescent="0.25">
      <c r="A12">
        <v>8</v>
      </c>
      <c r="B12" s="48"/>
      <c r="C12" t="s">
        <v>14</v>
      </c>
      <c r="D12" s="8">
        <v>1</v>
      </c>
      <c r="E12" s="51" t="s">
        <v>16</v>
      </c>
      <c r="F12" s="28">
        <f t="shared" si="1"/>
        <v>659.25511382573984</v>
      </c>
      <c r="H12" s="29">
        <f t="shared" si="2"/>
        <v>0.99999999996095623</v>
      </c>
      <c r="I12" s="39">
        <f t="shared" si="3"/>
        <v>329.99999998711553</v>
      </c>
      <c r="J12" s="21">
        <f t="shared" si="4"/>
        <v>0.66741992708501718</v>
      </c>
      <c r="K12" s="40">
        <f t="shared" si="5"/>
        <v>220.24857593805567</v>
      </c>
      <c r="L12" s="1">
        <f t="shared" si="6"/>
        <v>0.44544935904376476</v>
      </c>
      <c r="M12">
        <f t="shared" si="7"/>
        <v>146.99828848444238</v>
      </c>
      <c r="N12" s="1">
        <f t="shared" si="8"/>
        <v>0.29730177876452213</v>
      </c>
      <c r="O12">
        <f t="shared" si="9"/>
        <v>98.109586992292307</v>
      </c>
    </row>
    <row r="13" spans="1:15" ht="22.5" customHeight="1" x14ac:dyDescent="0.25">
      <c r="A13">
        <v>9</v>
      </c>
      <c r="B13" s="48"/>
      <c r="C13" s="5" t="s">
        <v>21</v>
      </c>
      <c r="D13" s="8">
        <v>2</v>
      </c>
      <c r="E13" s="51"/>
      <c r="F13">
        <f t="shared" si="1"/>
        <v>622.25396744416184</v>
      </c>
      <c r="J13" s="22">
        <f t="shared" si="4"/>
        <v>0.70710678118654746</v>
      </c>
      <c r="K13" s="41">
        <f t="shared" si="5"/>
        <v>233.34523779156066</v>
      </c>
      <c r="L13" s="1">
        <f t="shared" si="6"/>
        <v>0.4719371563128717</v>
      </c>
      <c r="M13">
        <f t="shared" si="7"/>
        <v>155.73926158324767</v>
      </c>
      <c r="N13" s="1">
        <f t="shared" si="8"/>
        <v>0.31498026248838323</v>
      </c>
      <c r="O13">
        <f t="shared" si="9"/>
        <v>103.94348662116647</v>
      </c>
    </row>
    <row r="14" spans="1:15" ht="22.5" customHeight="1" x14ac:dyDescent="0.25">
      <c r="A14">
        <v>10</v>
      </c>
      <c r="B14" s="48"/>
      <c r="C14" s="7" t="s">
        <v>22</v>
      </c>
      <c r="D14" s="8">
        <v>3</v>
      </c>
      <c r="E14" s="51"/>
      <c r="F14">
        <f t="shared" si="1"/>
        <v>587.32953583481515</v>
      </c>
      <c r="J14" s="23">
        <f t="shared" si="4"/>
        <v>0.74915353843834076</v>
      </c>
      <c r="K14" s="28">
        <f t="shared" si="5"/>
        <v>247.22066768465245</v>
      </c>
      <c r="L14" s="1">
        <f t="shared" si="6"/>
        <v>0.49999999997036154</v>
      </c>
      <c r="M14">
        <f t="shared" si="7"/>
        <v>164.99999999021932</v>
      </c>
      <c r="N14" s="1">
        <f t="shared" si="8"/>
        <v>0.33370996355804561</v>
      </c>
      <c r="O14">
        <f t="shared" si="9"/>
        <v>110.12428797415505</v>
      </c>
    </row>
    <row r="15" spans="1:15" ht="22.5" customHeight="1" x14ac:dyDescent="0.25">
      <c r="A15">
        <v>11</v>
      </c>
      <c r="B15" s="48"/>
      <c r="C15" s="5" t="s">
        <v>23</v>
      </c>
      <c r="D15" s="8">
        <v>4</v>
      </c>
      <c r="E15" s="51"/>
      <c r="F15">
        <f t="shared" si="1"/>
        <v>554.36526195374415</v>
      </c>
      <c r="J15" s="24">
        <f t="shared" si="4"/>
        <v>0.79370052598409968</v>
      </c>
      <c r="K15" s="42">
        <f t="shared" si="5"/>
        <v>261.92117357475291</v>
      </c>
      <c r="L15" s="1">
        <f t="shared" si="6"/>
        <v>0.52973154714824677</v>
      </c>
      <c r="M15">
        <f t="shared" si="7"/>
        <v>174.81141055892144</v>
      </c>
      <c r="N15" s="1">
        <f t="shared" si="8"/>
        <v>0.35355339060973462</v>
      </c>
      <c r="O15">
        <f t="shared" si="9"/>
        <v>116.67261890121243</v>
      </c>
    </row>
    <row r="16" spans="1:15" ht="22.5" customHeight="1" x14ac:dyDescent="0.25">
      <c r="A16">
        <v>12</v>
      </c>
      <c r="B16" s="49"/>
      <c r="C16" s="9" t="s">
        <v>24</v>
      </c>
      <c r="D16" s="8">
        <v>5</v>
      </c>
      <c r="E16" s="51"/>
      <c r="F16">
        <f t="shared" si="1"/>
        <v>523.25113060119725</v>
      </c>
      <c r="J16" s="25">
        <f t="shared" si="4"/>
        <v>0.84089641525371461</v>
      </c>
      <c r="K16" s="43">
        <f t="shared" si="5"/>
        <v>277.49581703372581</v>
      </c>
      <c r="L16" s="1">
        <f t="shared" si="6"/>
        <v>0.56123102412141856</v>
      </c>
      <c r="M16">
        <f t="shared" si="7"/>
        <v>185.20623796006814</v>
      </c>
      <c r="N16" s="1">
        <f t="shared" si="8"/>
        <v>0.3745767692366101</v>
      </c>
      <c r="O16">
        <f t="shared" si="9"/>
        <v>123.61033384808132</v>
      </c>
    </row>
    <row r="17" spans="1:15" ht="22.5" customHeight="1" x14ac:dyDescent="0.25">
      <c r="A17">
        <v>13</v>
      </c>
      <c r="B17" s="47">
        <v>4</v>
      </c>
      <c r="C17" s="10" t="s">
        <v>13</v>
      </c>
      <c r="D17" s="8">
        <v>6</v>
      </c>
      <c r="E17" s="51"/>
      <c r="F17">
        <f t="shared" si="1"/>
        <v>493.88330125612413</v>
      </c>
      <c r="J17" s="26">
        <f t="shared" si="4"/>
        <v>0.89089871814033927</v>
      </c>
      <c r="K17" s="44">
        <f t="shared" si="5"/>
        <v>293.99657698631194</v>
      </c>
      <c r="L17" s="1">
        <f t="shared" si="6"/>
        <v>0.59460355746611426</v>
      </c>
      <c r="M17">
        <f t="shared" si="7"/>
        <v>196.2191739638177</v>
      </c>
      <c r="N17" s="1">
        <f t="shared" si="8"/>
        <v>0.39685026301052656</v>
      </c>
      <c r="O17">
        <f t="shared" si="9"/>
        <v>130.96058679347377</v>
      </c>
    </row>
    <row r="18" spans="1:15" ht="22.5" customHeight="1" x14ac:dyDescent="0.25">
      <c r="A18">
        <v>14</v>
      </c>
      <c r="B18" s="48"/>
      <c r="C18" s="5" t="s">
        <v>15</v>
      </c>
      <c r="D18" s="8">
        <v>7</v>
      </c>
      <c r="E18" s="51"/>
      <c r="F18">
        <f t="shared" si="1"/>
        <v>466.16376151808993</v>
      </c>
      <c r="J18" s="27">
        <f t="shared" si="4"/>
        <v>0.94387431268169342</v>
      </c>
      <c r="K18" s="45">
        <f t="shared" si="5"/>
        <v>311.47852318495882</v>
      </c>
      <c r="L18" s="1">
        <f t="shared" si="6"/>
        <v>0.62996052491009447</v>
      </c>
      <c r="M18">
        <f t="shared" si="7"/>
        <v>207.88697322033119</v>
      </c>
      <c r="N18" s="1">
        <f t="shared" si="8"/>
        <v>0.42044820764643265</v>
      </c>
      <c r="O18">
        <f t="shared" si="9"/>
        <v>138.74790852332276</v>
      </c>
    </row>
    <row r="19" spans="1:15" ht="22.5" customHeight="1" x14ac:dyDescent="0.25">
      <c r="A19" s="6">
        <v>15</v>
      </c>
      <c r="B19" s="48"/>
      <c r="C19" t="s">
        <v>16</v>
      </c>
      <c r="D19" s="11">
        <v>1</v>
      </c>
      <c r="E19" s="52" t="s">
        <v>22</v>
      </c>
      <c r="F19" s="28">
        <f t="shared" si="1"/>
        <v>440</v>
      </c>
      <c r="J19" s="29">
        <f t="shared" si="4"/>
        <v>1</v>
      </c>
      <c r="K19" s="46">
        <f t="shared" si="5"/>
        <v>330</v>
      </c>
      <c r="L19" s="21">
        <f t="shared" si="6"/>
        <v>0.66741992704545461</v>
      </c>
      <c r="M19" s="40">
        <f t="shared" si="7"/>
        <v>220.24857592500001</v>
      </c>
      <c r="N19" s="1">
        <f t="shared" si="8"/>
        <v>0.44544935909090905</v>
      </c>
      <c r="O19">
        <f t="shared" si="9"/>
        <v>146.99828849999997</v>
      </c>
    </row>
    <row r="20" spans="1:15" ht="22.5" customHeight="1" x14ac:dyDescent="0.25">
      <c r="A20">
        <v>16</v>
      </c>
      <c r="B20" s="48"/>
      <c r="C20" s="5" t="s">
        <v>17</v>
      </c>
      <c r="D20" s="11">
        <v>2</v>
      </c>
      <c r="E20" s="52"/>
      <c r="F20">
        <f t="shared" si="1"/>
        <v>415.30469757994513</v>
      </c>
      <c r="L20" s="22">
        <f t="shared" si="6"/>
        <v>0.70710678114463232</v>
      </c>
      <c r="M20" s="41">
        <f t="shared" si="7"/>
        <v>233.34523777772867</v>
      </c>
      <c r="N20" s="1">
        <f t="shared" si="8"/>
        <v>0.47193715636281941</v>
      </c>
      <c r="O20">
        <f t="shared" si="9"/>
        <v>155.73926159973041</v>
      </c>
    </row>
    <row r="21" spans="1:15" ht="22.5" customHeight="1" x14ac:dyDescent="0.25">
      <c r="A21">
        <v>17</v>
      </c>
      <c r="B21" s="48"/>
      <c r="C21" s="7" t="s">
        <v>18</v>
      </c>
      <c r="D21" s="11">
        <v>3</v>
      </c>
      <c r="E21" s="52"/>
      <c r="F21">
        <f t="shared" si="1"/>
        <v>391.99543598174927</v>
      </c>
      <c r="L21" s="23">
        <f t="shared" si="6"/>
        <v>0.74915353839393328</v>
      </c>
      <c r="M21" s="28">
        <f t="shared" si="7"/>
        <v>247.22066766999799</v>
      </c>
      <c r="N21" s="1">
        <f t="shared" si="8"/>
        <v>0.50000000002327927</v>
      </c>
      <c r="O21">
        <f t="shared" si="9"/>
        <v>165.00000000768216</v>
      </c>
    </row>
    <row r="22" spans="1:15" ht="22.5" customHeight="1" x14ac:dyDescent="0.25">
      <c r="A22">
        <v>18</v>
      </c>
      <c r="B22" s="48"/>
      <c r="C22" s="5" t="s">
        <v>19</v>
      </c>
      <c r="D22" s="11">
        <v>4</v>
      </c>
      <c r="E22" s="52"/>
      <c r="F22">
        <f t="shared" si="1"/>
        <v>369.99442271163446</v>
      </c>
      <c r="L22" s="24">
        <f t="shared" si="6"/>
        <v>0.79370052593705165</v>
      </c>
      <c r="M22" s="42">
        <f t="shared" si="7"/>
        <v>261.92117355922704</v>
      </c>
      <c r="N22" s="1">
        <f t="shared" si="8"/>
        <v>0.52973154720431115</v>
      </c>
      <c r="O22">
        <f t="shared" si="9"/>
        <v>174.81141057742269</v>
      </c>
    </row>
    <row r="23" spans="1:15" ht="22.5" customHeight="1" x14ac:dyDescent="0.25">
      <c r="A23">
        <v>19</v>
      </c>
      <c r="B23" s="48"/>
      <c r="C23" t="s">
        <v>20</v>
      </c>
      <c r="D23" s="11">
        <v>5</v>
      </c>
      <c r="E23" s="52"/>
      <c r="F23">
        <f t="shared" si="1"/>
        <v>349.22823143300388</v>
      </c>
      <c r="L23" s="25">
        <f t="shared" si="6"/>
        <v>0.84089641520386882</v>
      </c>
      <c r="M23" s="43">
        <f t="shared" si="7"/>
        <v>277.49581701727669</v>
      </c>
      <c r="N23" s="1">
        <f t="shared" si="8"/>
        <v>0.5612310241808165</v>
      </c>
      <c r="O23">
        <f t="shared" si="9"/>
        <v>185.20623797966945</v>
      </c>
    </row>
    <row r="24" spans="1:15" ht="22.5" customHeight="1" x14ac:dyDescent="0.25">
      <c r="A24">
        <v>20</v>
      </c>
      <c r="B24" s="48"/>
      <c r="C24" s="7" t="s">
        <v>14</v>
      </c>
      <c r="D24" s="11">
        <v>6</v>
      </c>
      <c r="E24" s="52"/>
      <c r="F24">
        <f t="shared" si="1"/>
        <v>329.62755691286992</v>
      </c>
      <c r="L24" s="26">
        <f t="shared" si="6"/>
        <v>0.89089871808752952</v>
      </c>
      <c r="M24" s="44">
        <f t="shared" si="7"/>
        <v>293.99657696888477</v>
      </c>
      <c r="N24" s="1">
        <f t="shared" si="8"/>
        <v>0.59460355752904426</v>
      </c>
      <c r="O24">
        <f t="shared" si="9"/>
        <v>196.21917398458461</v>
      </c>
    </row>
    <row r="25" spans="1:15" ht="22.5" customHeight="1" x14ac:dyDescent="0.25">
      <c r="A25">
        <v>21</v>
      </c>
      <c r="B25" s="48"/>
      <c r="C25" s="5" t="s">
        <v>21</v>
      </c>
      <c r="D25" s="11">
        <v>7</v>
      </c>
      <c r="E25" s="52"/>
      <c r="F25">
        <f t="shared" ref="F25:F30" si="10">440*2^((15-A25)/12)</f>
        <v>311.12698372208087</v>
      </c>
      <c r="L25" s="27">
        <f t="shared" si="6"/>
        <v>0.94387431262574362</v>
      </c>
      <c r="M25" s="45">
        <f t="shared" si="7"/>
        <v>311.47852316649539</v>
      </c>
      <c r="N25" s="1">
        <f t="shared" si="8"/>
        <v>0.62996052497676658</v>
      </c>
      <c r="O25">
        <f t="shared" si="9"/>
        <v>207.88697324233297</v>
      </c>
    </row>
    <row r="26" spans="1:15" ht="22.5" customHeight="1" x14ac:dyDescent="0.25">
      <c r="A26">
        <v>22</v>
      </c>
      <c r="B26" s="48"/>
      <c r="C26" t="s">
        <v>22</v>
      </c>
      <c r="D26" s="12">
        <v>1</v>
      </c>
      <c r="E26" s="53" t="s">
        <v>18</v>
      </c>
      <c r="F26" s="28">
        <f t="shared" si="10"/>
        <v>293.66476791740757</v>
      </c>
      <c r="L26" s="29">
        <f t="shared" si="6"/>
        <v>0.99999999994072308</v>
      </c>
      <c r="M26" s="46">
        <f t="shared" si="7"/>
        <v>329.99999998043864</v>
      </c>
      <c r="N26" s="21">
        <f t="shared" si="8"/>
        <v>0.66741992711609122</v>
      </c>
      <c r="O26" s="40">
        <f t="shared" si="9"/>
        <v>220.2485759483101</v>
      </c>
    </row>
    <row r="27" spans="1:15" ht="22.5" customHeight="1" x14ac:dyDescent="0.25">
      <c r="A27">
        <v>23</v>
      </c>
      <c r="B27" s="48"/>
      <c r="C27" s="5" t="s">
        <v>23</v>
      </c>
      <c r="D27" s="12">
        <v>2</v>
      </c>
      <c r="E27" s="53"/>
      <c r="F27">
        <f t="shared" si="10"/>
        <v>277.18263097687208</v>
      </c>
      <c r="N27" s="22">
        <f t="shared" si="8"/>
        <v>0.70710678121946924</v>
      </c>
      <c r="O27" s="41">
        <f t="shared" si="9"/>
        <v>233.34523780242486</v>
      </c>
    </row>
    <row r="28" spans="1:15" ht="22.5" customHeight="1" x14ac:dyDescent="0.25">
      <c r="A28">
        <v>24</v>
      </c>
      <c r="B28" s="49"/>
      <c r="C28" s="13" t="s">
        <v>24</v>
      </c>
      <c r="D28" s="12">
        <v>3</v>
      </c>
      <c r="E28" s="53"/>
      <c r="F28">
        <f t="shared" si="10"/>
        <v>261.62556530059862</v>
      </c>
      <c r="N28" s="23">
        <f t="shared" si="8"/>
        <v>0.74915353847322008</v>
      </c>
      <c r="O28" s="28">
        <f t="shared" si="9"/>
        <v>247.22066769616262</v>
      </c>
    </row>
    <row r="29" spans="1:15" ht="22.5" customHeight="1" x14ac:dyDescent="0.25">
      <c r="A29">
        <v>25</v>
      </c>
      <c r="B29" s="47">
        <v>3</v>
      </c>
      <c r="C29" s="14" t="s">
        <v>13</v>
      </c>
      <c r="D29" s="12">
        <v>4</v>
      </c>
      <c r="E29" s="53"/>
      <c r="F29">
        <f t="shared" si="10"/>
        <v>246.94165062806206</v>
      </c>
      <c r="N29" s="24">
        <f t="shared" si="8"/>
        <v>0.79370052602105312</v>
      </c>
      <c r="O29" s="42">
        <f t="shared" si="9"/>
        <v>261.92117358694753</v>
      </c>
    </row>
    <row r="30" spans="1:15" ht="22.5" customHeight="1" x14ac:dyDescent="0.25">
      <c r="A30">
        <v>26</v>
      </c>
      <c r="B30" s="48"/>
      <c r="C30" s="5" t="s">
        <v>15</v>
      </c>
      <c r="D30" s="12">
        <v>5</v>
      </c>
      <c r="E30" s="53"/>
      <c r="F30">
        <f t="shared" si="10"/>
        <v>233.08188075904496</v>
      </c>
      <c r="N30" s="25">
        <f t="shared" si="8"/>
        <v>0.8408964152928653</v>
      </c>
      <c r="O30" s="43">
        <f t="shared" si="9"/>
        <v>277.49581704664553</v>
      </c>
    </row>
    <row r="31" spans="1:15" ht="22.5" customHeight="1" x14ac:dyDescent="0.25">
      <c r="A31">
        <v>27</v>
      </c>
      <c r="B31" s="48"/>
      <c r="C31" s="6" t="s">
        <v>16</v>
      </c>
      <c r="D31" s="12">
        <v>6</v>
      </c>
      <c r="E31" s="53"/>
      <c r="F31">
        <f t="shared" ref="F31:F40" si="11">440*2^((15-A31)/12)</f>
        <v>220</v>
      </c>
      <c r="N31" s="26">
        <f t="shared" si="8"/>
        <v>0.89089871818181809</v>
      </c>
      <c r="O31" s="44">
        <f t="shared" si="9"/>
        <v>293.99657699999995</v>
      </c>
    </row>
    <row r="32" spans="1:15" x14ac:dyDescent="0.25">
      <c r="A32">
        <v>28</v>
      </c>
      <c r="B32" s="48"/>
      <c r="C32" s="5" t="s">
        <v>17</v>
      </c>
      <c r="D32" s="12">
        <v>7</v>
      </c>
      <c r="E32" s="53"/>
      <c r="F32">
        <f t="shared" si="11"/>
        <v>207.65234878997259</v>
      </c>
      <c r="N32" s="27">
        <f t="shared" si="8"/>
        <v>0.9438743127256386</v>
      </c>
      <c r="O32" s="45">
        <f t="shared" si="9"/>
        <v>311.47852319946071</v>
      </c>
    </row>
    <row r="33" spans="1:15" x14ac:dyDescent="0.25">
      <c r="A33">
        <v>29</v>
      </c>
      <c r="B33" s="48"/>
      <c r="C33" t="s">
        <v>18</v>
      </c>
      <c r="F33" s="28">
        <f t="shared" si="11"/>
        <v>195.99771799087463</v>
      </c>
      <c r="N33" s="29">
        <f t="shared" si="8"/>
        <v>1.0000000000465585</v>
      </c>
      <c r="O33" s="46">
        <f t="shared" si="9"/>
        <v>330.00000001536432</v>
      </c>
    </row>
    <row r="34" spans="1:15" x14ac:dyDescent="0.25">
      <c r="A34">
        <v>30</v>
      </c>
      <c r="B34" s="48"/>
      <c r="C34" s="15" t="s">
        <v>19</v>
      </c>
      <c r="D34" s="5"/>
      <c r="E34" s="5"/>
      <c r="F34">
        <f t="shared" si="11"/>
        <v>184.99721135581723</v>
      </c>
    </row>
    <row r="35" spans="1:15" x14ac:dyDescent="0.25">
      <c r="A35">
        <v>31</v>
      </c>
      <c r="B35" s="48"/>
      <c r="C35" s="16" t="s">
        <v>20</v>
      </c>
      <c r="F35">
        <f t="shared" si="11"/>
        <v>174.61411571650197</v>
      </c>
    </row>
    <row r="36" spans="1:15" x14ac:dyDescent="0.25">
      <c r="A36">
        <v>32</v>
      </c>
      <c r="B36" s="48"/>
      <c r="C36" s="17" t="s">
        <v>14</v>
      </c>
      <c r="F36">
        <f t="shared" si="11"/>
        <v>164.81377845643496</v>
      </c>
    </row>
    <row r="37" spans="1:15" x14ac:dyDescent="0.25">
      <c r="A37">
        <v>33</v>
      </c>
      <c r="B37" s="48"/>
      <c r="C37" s="15" t="s">
        <v>21</v>
      </c>
      <c r="D37" s="5"/>
      <c r="E37" s="5"/>
      <c r="F37">
        <f t="shared" si="11"/>
        <v>155.56349186104046</v>
      </c>
    </row>
    <row r="38" spans="1:15" x14ac:dyDescent="0.25">
      <c r="A38">
        <v>34</v>
      </c>
      <c r="B38" s="48"/>
      <c r="C38" s="16" t="s">
        <v>22</v>
      </c>
      <c r="F38">
        <f t="shared" si="11"/>
        <v>146.83238395870382</v>
      </c>
    </row>
    <row r="39" spans="1:15" x14ac:dyDescent="0.25">
      <c r="A39">
        <v>35</v>
      </c>
      <c r="B39" s="48"/>
      <c r="C39" s="15" t="s">
        <v>23</v>
      </c>
      <c r="D39" s="5"/>
      <c r="E39" s="5"/>
      <c r="F39">
        <f t="shared" si="11"/>
        <v>138.59131548843604</v>
      </c>
    </row>
    <row r="40" spans="1:15" x14ac:dyDescent="0.25">
      <c r="A40">
        <v>36</v>
      </c>
      <c r="B40" s="49"/>
      <c r="C40" s="18" t="s">
        <v>24</v>
      </c>
      <c r="F40">
        <f t="shared" si="11"/>
        <v>130.81278265029931</v>
      </c>
    </row>
  </sheetData>
  <mergeCells count="11">
    <mergeCell ref="H2:I2"/>
    <mergeCell ref="J2:K2"/>
    <mergeCell ref="L2:M2"/>
    <mergeCell ref="N2:O2"/>
    <mergeCell ref="B5:B16"/>
    <mergeCell ref="B17:B28"/>
    <mergeCell ref="B29:B40"/>
    <mergeCell ref="E5:E11"/>
    <mergeCell ref="E12:E18"/>
    <mergeCell ref="E19:E25"/>
    <mergeCell ref="E26:E32"/>
  </mergeCells>
  <phoneticPr fontId="3" type="noConversion"/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2:I19"/>
  <sheetViews>
    <sheetView zoomScale="130" zoomScaleNormal="130" workbookViewId="0">
      <selection activeCell="H12" sqref="H12"/>
    </sheetView>
  </sheetViews>
  <sheetFormatPr defaultColWidth="9.90625" defaultRowHeight="14" x14ac:dyDescent="0.25"/>
  <sheetData>
    <row r="12" spans="3:9" x14ac:dyDescent="0.25">
      <c r="C12" s="4">
        <v>1</v>
      </c>
      <c r="D12">
        <v>0.66741992705895847</v>
      </c>
      <c r="E12">
        <f>D13-D12</f>
        <v>3.9686854099980962E-2</v>
      </c>
      <c r="F12">
        <f>E12/SUM(E:E)</f>
        <v>0.14355660886288221</v>
      </c>
      <c r="H12">
        <v>0.19162508283967356</v>
      </c>
      <c r="I12">
        <v>6</v>
      </c>
    </row>
    <row r="13" spans="3:9" x14ac:dyDescent="0.25">
      <c r="C13" s="4">
        <v>2</v>
      </c>
      <c r="D13">
        <v>0.70710678115893943</v>
      </c>
      <c r="E13">
        <f t="shared" ref="E13:E17" si="0">D14-D13</f>
        <v>4.2046757250151501E-2</v>
      </c>
      <c r="F13">
        <f t="shared" ref="F13:H17" si="1">E13/SUM(E:E)</f>
        <v>0.15209292904159546</v>
      </c>
      <c r="H13">
        <v>0.18086999335786982</v>
      </c>
      <c r="I13">
        <v>5</v>
      </c>
    </row>
    <row r="14" spans="3:9" x14ac:dyDescent="0.25">
      <c r="C14" s="4">
        <v>3</v>
      </c>
      <c r="D14">
        <v>0.74915353840909094</v>
      </c>
      <c r="E14">
        <f t="shared" si="0"/>
        <v>4.4546987544019756E-2</v>
      </c>
      <c r="F14">
        <f t="shared" si="1"/>
        <v>0.16113684523257785</v>
      </c>
      <c r="H14">
        <v>0.1707185406654011</v>
      </c>
      <c r="I14">
        <v>4</v>
      </c>
    </row>
    <row r="15" spans="3:9" x14ac:dyDescent="0.25">
      <c r="C15" s="4">
        <v>4</v>
      </c>
      <c r="D15">
        <v>0.79370052595311069</v>
      </c>
      <c r="E15">
        <f t="shared" si="0"/>
        <v>4.7195889267771962E-2</v>
      </c>
      <c r="F15">
        <f t="shared" si="1"/>
        <v>0.1707185406654011</v>
      </c>
      <c r="H15">
        <v>0.16113684523257785</v>
      </c>
      <c r="I15">
        <v>3</v>
      </c>
    </row>
    <row r="16" spans="3:9" x14ac:dyDescent="0.25">
      <c r="C16" s="4">
        <v>5</v>
      </c>
      <c r="D16">
        <v>0.84089641522088265</v>
      </c>
      <c r="E16">
        <f t="shared" si="0"/>
        <v>5.0002302884672556E-2</v>
      </c>
      <c r="F16">
        <f t="shared" si="1"/>
        <v>0.18086999335786982</v>
      </c>
      <c r="H16">
        <v>0.15209292904159546</v>
      </c>
      <c r="I16">
        <v>2</v>
      </c>
    </row>
    <row r="17" spans="3:9" x14ac:dyDescent="0.25">
      <c r="C17" s="4">
        <v>6</v>
      </c>
      <c r="D17">
        <v>0.89089871810555521</v>
      </c>
      <c r="E17">
        <f t="shared" si="0"/>
        <v>5.2975594539285797E-2</v>
      </c>
      <c r="F17">
        <f t="shared" si="1"/>
        <v>0.19162508283967356</v>
      </c>
      <c r="H17">
        <v>0.14355660886288221</v>
      </c>
      <c r="I17">
        <v>1</v>
      </c>
    </row>
    <row r="18" spans="3:9" x14ac:dyDescent="0.25">
      <c r="C18" s="4">
        <v>7</v>
      </c>
      <c r="D18">
        <v>0.94387431264484101</v>
      </c>
    </row>
    <row r="19" spans="3:9" x14ac:dyDescent="0.25">
      <c r="D19">
        <v>0.99999999996095623</v>
      </c>
    </row>
  </sheetData>
  <sortState xmlns:xlrd2="http://schemas.microsoft.com/office/spreadsheetml/2017/richdata2" ref="H12:I17">
    <sortCondition descending="1" ref="I12:I17"/>
  </sortState>
  <phoneticPr fontId="3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:G17"/>
  <sheetViews>
    <sheetView tabSelected="1" zoomScale="130" zoomScaleNormal="130" workbookViewId="0">
      <selection activeCell="F9" sqref="F9"/>
    </sheetView>
  </sheetViews>
  <sheetFormatPr defaultColWidth="9.90625" defaultRowHeight="14" x14ac:dyDescent="0.25"/>
  <sheetData>
    <row r="9" spans="1:7" x14ac:dyDescent="0.25">
      <c r="A9">
        <v>1</v>
      </c>
      <c r="B9">
        <v>0.66741992705895847</v>
      </c>
      <c r="C9">
        <f>B10-B9</f>
        <v>3.9686854099980962E-2</v>
      </c>
      <c r="D9">
        <f>C9/SUM(C:C)</f>
        <v>0.11933022250456837</v>
      </c>
      <c r="F9">
        <v>0.16875841906695935</v>
      </c>
      <c r="G9">
        <v>7</v>
      </c>
    </row>
    <row r="10" spans="1:7" x14ac:dyDescent="0.25">
      <c r="A10">
        <v>2</v>
      </c>
      <c r="B10">
        <v>0.70710678115893943</v>
      </c>
      <c r="C10">
        <f t="shared" ref="C10:C15" si="0">B11-B10</f>
        <v>4.2046757250151501E-2</v>
      </c>
      <c r="D10">
        <f t="shared" ref="D10:F15" si="1">C10/SUM(C:C)</f>
        <v>0.12642596678527257</v>
      </c>
      <c r="F10">
        <v>0.15928673680607514</v>
      </c>
      <c r="G10">
        <v>6</v>
      </c>
    </row>
    <row r="11" spans="1:7" x14ac:dyDescent="0.25">
      <c r="A11">
        <v>3</v>
      </c>
      <c r="B11">
        <v>0.74915353840909094</v>
      </c>
      <c r="C11">
        <f t="shared" si="0"/>
        <v>4.4546987544019756E-2</v>
      </c>
      <c r="D11">
        <f t="shared" si="1"/>
        <v>0.13394364597769071</v>
      </c>
      <c r="F11">
        <v>0.15034665922214427</v>
      </c>
      <c r="G11">
        <v>5</v>
      </c>
    </row>
    <row r="12" spans="1:7" x14ac:dyDescent="0.25">
      <c r="A12">
        <v>4</v>
      </c>
      <c r="B12">
        <v>0.79370052595311069</v>
      </c>
      <c r="C12">
        <f t="shared" si="0"/>
        <v>4.7195889267771962E-2</v>
      </c>
      <c r="D12">
        <f t="shared" si="1"/>
        <v>0.1419083496372896</v>
      </c>
      <c r="F12">
        <v>0.1419083496372896</v>
      </c>
      <c r="G12">
        <v>4</v>
      </c>
    </row>
    <row r="13" spans="1:7" x14ac:dyDescent="0.25">
      <c r="A13">
        <v>5</v>
      </c>
      <c r="B13">
        <v>0.84089641522088265</v>
      </c>
      <c r="C13">
        <f t="shared" si="0"/>
        <v>5.0002302884672556E-2</v>
      </c>
      <c r="D13">
        <f t="shared" si="1"/>
        <v>0.15034665922214427</v>
      </c>
      <c r="F13">
        <v>0.13394364597769071</v>
      </c>
      <c r="G13">
        <v>3</v>
      </c>
    </row>
    <row r="14" spans="1:7" x14ac:dyDescent="0.25">
      <c r="A14">
        <v>6</v>
      </c>
      <c r="B14">
        <v>0.89089871810555521</v>
      </c>
      <c r="C14">
        <f t="shared" si="0"/>
        <v>5.2975594539285797E-2</v>
      </c>
      <c r="D14">
        <f t="shared" si="1"/>
        <v>0.15928673680607514</v>
      </c>
      <c r="F14">
        <v>0.12642596678527257</v>
      </c>
      <c r="G14">
        <v>2</v>
      </c>
    </row>
    <row r="15" spans="1:7" x14ac:dyDescent="0.25">
      <c r="A15">
        <v>7</v>
      </c>
      <c r="B15">
        <v>0.94387431264484101</v>
      </c>
      <c r="C15">
        <f t="shared" si="0"/>
        <v>5.6125687316115225E-2</v>
      </c>
      <c r="D15">
        <f t="shared" si="1"/>
        <v>0.16875841906695935</v>
      </c>
      <c r="F15">
        <v>0.119330222504568</v>
      </c>
      <c r="G15">
        <v>1</v>
      </c>
    </row>
    <row r="16" spans="1:7" x14ac:dyDescent="0.25">
      <c r="A16">
        <v>1</v>
      </c>
      <c r="B16">
        <v>0.99999999996095623</v>
      </c>
    </row>
    <row r="17" spans="1:1" x14ac:dyDescent="0.25">
      <c r="A17">
        <v>2</v>
      </c>
    </row>
  </sheetData>
  <sortState xmlns:xlrd2="http://schemas.microsoft.com/office/spreadsheetml/2017/richdata2" ref="F9:G15">
    <sortCondition descending="1" ref="G9:G15"/>
  </sortState>
  <phoneticPr fontId="3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李清中的iPad</dc:creator>
  <cp:lastModifiedBy>shaoyu guo</cp:lastModifiedBy>
  <dcterms:created xsi:type="dcterms:W3CDTF">2026-05-01T14:29:06Z</dcterms:created>
  <dcterms:modified xsi:type="dcterms:W3CDTF">2026-06-22T05:12:57Z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EBE511F140C2BF7FF8CAF46961162414_33</vt:lpwstr>
  </property>
  <property fmtid="{D5CDD505-2E9C-101B-9397-08002B2CF9AE}" pid="3" name="KSOProductBuildVer">
    <vt:lpwstr>2052-12.21.1</vt:lpwstr>
  </property>
  <property fmtid="{D5CDD505-2E9C-101B-9397-08002B2CF9AE}" pid="4" name="KSOReadingLayout">
    <vt:bool>false</vt:bool>
  </property>
</Properties>
</file>